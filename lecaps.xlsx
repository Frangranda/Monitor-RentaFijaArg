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CAPs" sheetId="1" state="visible" r:id="rId3"/>
  </sheets>
  <definedNames>
    <definedName function="false" hidden="true" localSheetId="0" name="_xlnm._FilterDatabase" vbProcedure="false">LECAPs!$A$1:$G$1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<sst xmlns="http://schemas.openxmlformats.org/spreadsheetml/2006/main" count="47" uniqueCount="37">
  <si>
    <t xml:space="preserve">Ticker</t>
  </si>
  <si>
    <t xml:space="preserve">Tipo</t>
  </si>
  <si>
    <t xml:space="preserve">Fecha Emision</t>
  </si>
  <si>
    <t xml:space="preserve">Fecha Vencimiento</t>
  </si>
  <si>
    <t xml:space="preserve">TEM (%)</t>
  </si>
  <si>
    <t xml:space="preserve">Meses (base 30/360)</t>
  </si>
  <si>
    <t xml:space="preserve">VPV (c/100 VN)</t>
  </si>
  <si>
    <t xml:space="preserve">S30A6</t>
  </si>
  <si>
    <t xml:space="preserve">LECAP</t>
  </si>
  <si>
    <t xml:space="preserve">2025-09-26</t>
  </si>
  <si>
    <t xml:space="preserve">2026-04-30</t>
  </si>
  <si>
    <t xml:space="preserve">S15Y6</t>
  </si>
  <si>
    <t xml:space="preserve">2026-03-14</t>
  </si>
  <si>
    <t xml:space="preserve">2026-05-15</t>
  </si>
  <si>
    <t xml:space="preserve">S29Y6</t>
  </si>
  <si>
    <t xml:space="preserve">2025-05-30</t>
  </si>
  <si>
    <t xml:space="preserve">2026-05-29</t>
  </si>
  <si>
    <t xml:space="preserve">S17L6</t>
  </si>
  <si>
    <t xml:space="preserve">2025-07-18</t>
  </si>
  <si>
    <t xml:space="preserve">2026-07-17</t>
  </si>
  <si>
    <t xml:space="preserve">S31L6</t>
  </si>
  <si>
    <t xml:space="preserve">2026-01-30</t>
  </si>
  <si>
    <t xml:space="preserve">2026-07-31</t>
  </si>
  <si>
    <t xml:space="preserve">S14G6</t>
  </si>
  <si>
    <t xml:space="preserve">2025-08-15</t>
  </si>
  <si>
    <t xml:space="preserve">2026-08-14</t>
  </si>
  <si>
    <t xml:space="preserve">S31G6</t>
  </si>
  <si>
    <t xml:space="preserve">2026-02-28</t>
  </si>
  <si>
    <t xml:space="preserve">2026-08-31</t>
  </si>
  <si>
    <t xml:space="preserve">S30S6</t>
  </si>
  <si>
    <t xml:space="preserve">2026-09-30</t>
  </si>
  <si>
    <t xml:space="preserve">S30O6</t>
  </si>
  <si>
    <t xml:space="preserve">2025-10-31</t>
  </si>
  <si>
    <t xml:space="preserve">2026-10-30</t>
  </si>
  <si>
    <t xml:space="preserve">S30N6</t>
  </si>
  <si>
    <t xml:space="preserve">2025-11-28</t>
  </si>
  <si>
    <t xml:space="preserve">2026-11-30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</si>
</sst>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E2E8F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2540"/>
        <bgColor rgb="FF003366"/>
      </patternFill>
    </fill>
    <fill>
      <patternFill patternType="solid">
        <fgColor rgb="FFF1F5F9"/>
        <bgColor rgb="FFE2E8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1E2540"/>
          <bgColor rgb="FF000000"/>
        </patternFill>
      </fill>
    </dxf>
    <dxf>
      <fill>
        <patternFill patternType="solid">
          <fgColor rgb="FFE2E8F0"/>
          <bgColor rgb="FF000000"/>
        </patternFill>
      </fill>
    </dxf>
  </dxfs>
  <colors>
    <indexedColors>
      <rgbColor rgb="FF000000"/>
      <rgbColor rgb="FFF1F5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2E8F0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25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18"/>
    <col collapsed="false" customWidth="true" hidden="false" outlineLevel="0" max="5" min="5" style="0" width="12"/>
    <col collapsed="false" customWidth="true" hidden="false" outlineLevel="0" max="6" min="6" style="0" width="20"/>
    <col collapsed="false" customWidth="true" hidden="false" outlineLevel="0" max="7" min="7" style="0" width="18"/>
  </cols>
  <sheetData>
    <row r="1" customFormat="false" ht="21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2" t="s">
        <v>7</v>
      </c>
      <c r="B2" s="3" t="s">
        <v>8</v>
      </c>
      <c r="C2" s="4" t="s">
        <v>9</v>
      </c>
      <c r="D2" s="4" t="s">
        <v>10</v>
      </c>
      <c r="E2" s="4" t="n">
        <v>2.75</v>
      </c>
      <c r="F2" s="5" t="n">
        <f aca="false">((YEAR(D2)-YEAR(C2))*360+(MONTH(D2)-MONTH(C2))*30+(DAY(D2)-DAY(C2)))/30</f>
        <v>7.13333333333333</v>
      </c>
      <c r="G2" s="6" t="n">
        <f aca="false">100*(1+E2/100)^F2</f>
        <v>121.351102006806</v>
      </c>
    </row>
    <row r="3" customFormat="false" ht="15" hidden="false" customHeight="false" outlineLevel="0" collapsed="false">
      <c r="A3" s="7" t="s">
        <v>11</v>
      </c>
      <c r="B3" s="8" t="s">
        <v>8</v>
      </c>
      <c r="C3" s="9" t="s">
        <v>12</v>
      </c>
      <c r="D3" s="9" t="s">
        <v>13</v>
      </c>
      <c r="E3" s="9" t="n">
        <v>3</v>
      </c>
      <c r="F3" s="10" t="n">
        <f aca="false">((YEAR(D3)-YEAR(C3))*360+(MONTH(D3)-MONTH(C3))*30+(DAY(D3)-DAY(C3)))/30</f>
        <v>2.03333333333333</v>
      </c>
      <c r="G3" s="11" t="n">
        <f aca="false">100*(1+E3/100)^F3</f>
        <v>106.194581290828</v>
      </c>
    </row>
    <row r="4" customFormat="false" ht="15" hidden="false" customHeight="false" outlineLevel="0" collapsed="false">
      <c r="A4" s="2" t="s">
        <v>14</v>
      </c>
      <c r="B4" s="3" t="s">
        <v>8</v>
      </c>
      <c r="C4" s="4" t="s">
        <v>15</v>
      </c>
      <c r="D4" s="4" t="s">
        <v>16</v>
      </c>
      <c r="E4" s="4" t="n">
        <v>3.1</v>
      </c>
      <c r="F4" s="5" t="n">
        <f aca="false">((YEAR(D4)-YEAR(C4))*360+(MONTH(D4)-MONTH(C4))*30+(DAY(D4)-DAY(C4)))/30</f>
        <v>11.9666666666667</v>
      </c>
      <c r="G4" s="6" t="n">
        <f aca="false">100*(1+E4/100)^F4</f>
        <v>144.099352017283</v>
      </c>
    </row>
    <row r="5" customFormat="false" ht="15" hidden="false" customHeight="false" outlineLevel="0" collapsed="false">
      <c r="A5" s="7" t="s">
        <v>17</v>
      </c>
      <c r="B5" s="8" t="s">
        <v>8</v>
      </c>
      <c r="C5" s="9" t="s">
        <v>18</v>
      </c>
      <c r="D5" s="9" t="s">
        <v>19</v>
      </c>
      <c r="E5" s="9" t="n">
        <v>2.9</v>
      </c>
      <c r="F5" s="10" t="n">
        <f aca="false">((YEAR(D5)-YEAR(C5))*360+(MONTH(D5)-MONTH(C5))*30+(DAY(D5)-DAY(C5)))/30</f>
        <v>11.9666666666667</v>
      </c>
      <c r="G5" s="11" t="n">
        <f aca="false">100*(1+E5/100)^F5</f>
        <v>140.789624725911</v>
      </c>
    </row>
    <row r="6" customFormat="false" ht="15" hidden="false" customHeight="false" outlineLevel="0" collapsed="false">
      <c r="A6" s="2" t="s">
        <v>20</v>
      </c>
      <c r="B6" s="3" t="s">
        <v>8</v>
      </c>
      <c r="C6" s="4" t="s">
        <v>21</v>
      </c>
      <c r="D6" s="4" t="s">
        <v>22</v>
      </c>
      <c r="E6" s="4" t="n">
        <v>2.85</v>
      </c>
      <c r="F6" s="5" t="n">
        <f aca="false">((YEAR(D6)-YEAR(C6))*360+(MONTH(D6)-MONTH(C6))*30+(DAY(D6)-DAY(C6)))/30</f>
        <v>6.03333333333333</v>
      </c>
      <c r="G6" s="6" t="n">
        <f aca="false">100*(1+E6/100)^F6</f>
        <v>118.47660097969</v>
      </c>
    </row>
    <row r="7" customFormat="false" ht="15" hidden="false" customHeight="false" outlineLevel="0" collapsed="false">
      <c r="A7" s="7" t="s">
        <v>23</v>
      </c>
      <c r="B7" s="8" t="s">
        <v>8</v>
      </c>
      <c r="C7" s="9" t="s">
        <v>24</v>
      </c>
      <c r="D7" s="9" t="s">
        <v>25</v>
      </c>
      <c r="E7" s="9" t="n">
        <v>2.8</v>
      </c>
      <c r="F7" s="10" t="n">
        <f aca="false">((YEAR(D7)-YEAR(C7))*360+(MONTH(D7)-MONTH(C7))*30+(DAY(D7)-DAY(C7)))/30</f>
        <v>11.9666666666667</v>
      </c>
      <c r="G7" s="11" t="n">
        <f aca="false">100*(1+E7/100)^F7</f>
        <v>139.161020677253</v>
      </c>
    </row>
    <row r="8" customFormat="false" ht="15" hidden="false" customHeight="false" outlineLevel="0" collapsed="false">
      <c r="A8" s="2" t="s">
        <v>26</v>
      </c>
      <c r="B8" s="3" t="s">
        <v>8</v>
      </c>
      <c r="C8" s="4" t="s">
        <v>27</v>
      </c>
      <c r="D8" s="4" t="s">
        <v>28</v>
      </c>
      <c r="E8" s="4" t="n">
        <v>2.8</v>
      </c>
      <c r="F8" s="5" t="n">
        <f aca="false">((YEAR(D8)-YEAR(C8))*360+(MONTH(D8)-MONTH(C8))*30+(DAY(D8)-DAY(C8)))/30</f>
        <v>6.1</v>
      </c>
      <c r="G8" s="6" t="n">
        <f aca="false">100*(1+E8/100)^F8</f>
        <v>118.34720329582</v>
      </c>
    </row>
    <row r="9" customFormat="false" ht="15" hidden="false" customHeight="false" outlineLevel="0" collapsed="false">
      <c r="A9" s="7" t="s">
        <v>29</v>
      </c>
      <c r="B9" s="8" t="s">
        <v>8</v>
      </c>
      <c r="C9" s="9" t="s">
        <v>12</v>
      </c>
      <c r="D9" s="9" t="s">
        <v>30</v>
      </c>
      <c r="E9" s="9" t="n">
        <v>2.9</v>
      </c>
      <c r="F9" s="10" t="n">
        <f aca="false">((YEAR(D9)-YEAR(C9))*360+(MONTH(D9)-MONTH(C9))*30+(DAY(D9)-DAY(C9)))/30</f>
        <v>6.53333333333333</v>
      </c>
      <c r="G9" s="11" t="n">
        <f aca="false">100*(1+E9/100)^F9</f>
        <v>120.535169178944</v>
      </c>
    </row>
    <row r="10" customFormat="false" ht="15" hidden="false" customHeight="false" outlineLevel="0" collapsed="false">
      <c r="A10" s="2" t="s">
        <v>31</v>
      </c>
      <c r="B10" s="3" t="s">
        <v>8</v>
      </c>
      <c r="C10" s="4" t="s">
        <v>32</v>
      </c>
      <c r="D10" s="4" t="s">
        <v>33</v>
      </c>
      <c r="E10" s="4" t="n">
        <v>2.75</v>
      </c>
      <c r="F10" s="5" t="n">
        <f aca="false">((YEAR(D10)-YEAR(C10))*360+(MONTH(D10)-MONTH(C10))*30+(DAY(D10)-DAY(C10)))/30</f>
        <v>11.9666666666667</v>
      </c>
      <c r="G10" s="6" t="n">
        <f aca="false">100*(1+E10/100)^F10</f>
        <v>138.353209688229</v>
      </c>
    </row>
    <row r="11" customFormat="false" ht="15" hidden="false" customHeight="false" outlineLevel="0" collapsed="false">
      <c r="A11" s="7" t="s">
        <v>34</v>
      </c>
      <c r="B11" s="8" t="s">
        <v>8</v>
      </c>
      <c r="C11" s="9" t="s">
        <v>35</v>
      </c>
      <c r="D11" s="9" t="s">
        <v>36</v>
      </c>
      <c r="E11" s="9" t="n">
        <v>2.7</v>
      </c>
      <c r="F11" s="10" t="n">
        <f aca="false">((YEAR(D11)-YEAR(C11))*360+(MONTH(D11)-MONTH(C11))*30+(DAY(D11)-DAY(C11)))/30</f>
        <v>12.0666666666667</v>
      </c>
      <c r="G11" s="11" t="n">
        <f aca="false">100*(1+E11/100)^F11</f>
        <v>137.916645710471</v>
      </c>
    </row>
  </sheetData>
  <autoFilter ref="A1:G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2026-04-21T02:20:02Z</dcterms:created>
  <dc:creator>openpyxl</dc:creator>
  <dc:description/>
  <dc:language>en-US</dc:language>
  <cp:lastModifiedBy/>
  <dcterms:modified xsi:type="dcterms:W3CDTF">2026-04-21T02:20:02Z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