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f161102fc41b3b/Desktop/Trabajo/Monitor Lecaps vs Caucion/"/>
    </mc:Choice>
  </mc:AlternateContent>
  <xr:revisionPtr revIDLastSave="41" documentId="11_0842600B199C3C1D721C41D7077BA21A7CD07289" xr6:coauthVersionLast="47" xr6:coauthVersionMax="47" xr10:uidLastSave="{3FA19D11-8CFB-43FF-B9A2-8CEF93EAA2A2}"/>
  <bookViews>
    <workbookView xWindow="480" yWindow="330" windowWidth="14400" windowHeight="11970" tabRatio="500" xr2:uid="{00000000-000D-0000-FFFF-FFFF00000000}"/>
  </bookViews>
  <sheets>
    <sheet name="LECAPs" sheetId="1" r:id="rId1"/>
  </sheets>
  <definedNames>
    <definedName name="_xlnm._FilterDatabase" localSheetId="0" hidden="1">LECAPs!$A$1:$G$1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G5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<sst xmlns="http://schemas.openxmlformats.org/spreadsheetml/2006/main" count="36" uniqueCount="27">
  <si>
    <t>Ticker</t>
  </si>
  <si>
    <t>Tipo</t>
  </si>
  <si>
    <t>Fecha Emision</t>
  </si>
  <si>
    <t>Fecha Vencimiento</t>
  </si>
  <si>
    <t>TEM (%)</t>
  </si>
  <si>
    <t>Meses (base 30/360)</t>
  </si>
  <si>
    <t>VPV (c/100 VN)</t>
  </si>
  <si>
    <t>LECAP</t>
  </si>
  <si>
    <t>S15Y6</t>
  </si>
  <si>
    <t>2026-05-15</t>
  </si>
  <si>
    <t>S29Y6</t>
  </si>
  <si>
    <t>2026-05-29</t>
  </si>
  <si>
    <t>S17L6</t>
  </si>
  <si>
    <t>2026-07-17</t>
  </si>
  <si>
    <t>S31L6</t>
  </si>
  <si>
    <t>2026-07-31</t>
  </si>
  <si>
    <t>S14G6</t>
  </si>
  <si>
    <t>2026-08-14</t>
  </si>
  <si>
    <t>S31G6</t>
  </si>
  <si>
    <t>2026-08-31</t>
  </si>
  <si>
    <t>S30S6</t>
  </si>
  <si>
    <t>2026-09-30</t>
  </si>
  <si>
    <t>S30O6</t>
  </si>
  <si>
    <t>2026-10-30</t>
  </si>
  <si>
    <t>S30N6</t>
  </si>
  <si>
    <t>2026-11-30</t>
  </si>
  <si>
    <t>S12J6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</si>
</sst>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1"/>
      <color rgb="FFE2E8F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E2540"/>
        <bgColor rgb="FF003366"/>
      </patternFill>
    </fill>
    <fill>
      <patternFill patternType="solid">
        <fgColor rgb="FFF1F5F9"/>
        <b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1F5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5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pane ySplit="1" topLeftCell="A2" activePane="bottomLeft" state="frozen"/>
      <selection pane="bottomLeft" activeCell="G2" sqref="G2"/>
    </sheetView>
  </sheetViews>
  <sheetFormatPr baseColWidth="10" defaultColWidth="8.7109375" defaultRowHeight="15" x14ac:dyDescent="0.25"/>
  <cols>
    <col min="1" max="1" width="12" customWidth="1"/>
    <col min="2" max="2" width="10" customWidth="1"/>
    <col min="3" max="4" width="18" customWidth="1"/>
    <col min="5" max="5" width="12" customWidth="1"/>
    <col min="6" max="6" width="20" customWidth="1"/>
    <col min="7" max="7" width="18" customWidth="1"/>
  </cols>
  <sheetData>
    <row r="1" spans="1:7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26</v>
      </c>
      <c r="B2" s="3" t="s">
        <v>7</v>
      </c>
      <c r="C2" s="12">
        <v>46142</v>
      </c>
      <c r="D2" s="12">
        <v>46185</v>
      </c>
      <c r="E2" s="4">
        <v>2.1</v>
      </c>
      <c r="F2" s="5">
        <f t="shared" ref="F2:F11" si="0">((YEAR(D2)-YEAR(C2))*360+(MONTH(D2)-MONTH(C2))*30+(DAY(D2)-DAY(C2)))/30</f>
        <v>1.4</v>
      </c>
      <c r="G2" s="6">
        <f t="shared" ref="G2:G11" si="1">100*(1+E2/100)^F2</f>
        <v>102.9522965693394</v>
      </c>
    </row>
    <row r="3" spans="1:7" x14ac:dyDescent="0.25">
      <c r="A3" s="7" t="s">
        <v>8</v>
      </c>
      <c r="B3" s="8" t="s">
        <v>7</v>
      </c>
      <c r="C3" s="13">
        <v>46097</v>
      </c>
      <c r="D3" s="9" t="s">
        <v>9</v>
      </c>
      <c r="E3" s="9">
        <v>2.6</v>
      </c>
      <c r="F3" s="10">
        <f t="shared" si="0"/>
        <v>1.9666666666666666</v>
      </c>
      <c r="G3" s="11">
        <f t="shared" si="1"/>
        <v>105.17757244897727</v>
      </c>
    </row>
    <row r="4" spans="1:7" x14ac:dyDescent="0.25">
      <c r="A4" s="2" t="s">
        <v>10</v>
      </c>
      <c r="B4" s="3" t="s">
        <v>7</v>
      </c>
      <c r="C4" s="12">
        <v>45807</v>
      </c>
      <c r="D4" s="4" t="s">
        <v>11</v>
      </c>
      <c r="E4" s="4">
        <v>2.35</v>
      </c>
      <c r="F4" s="5">
        <f t="shared" si="0"/>
        <v>11.966666666666667</v>
      </c>
      <c r="G4" s="6">
        <f t="shared" si="1"/>
        <v>132.04376604087778</v>
      </c>
    </row>
    <row r="5" spans="1:7" x14ac:dyDescent="0.25">
      <c r="A5" s="7" t="s">
        <v>12</v>
      </c>
      <c r="B5" s="8" t="s">
        <v>7</v>
      </c>
      <c r="C5" s="13">
        <v>46112</v>
      </c>
      <c r="D5" s="9" t="s">
        <v>13</v>
      </c>
      <c r="E5" s="9">
        <v>2.16</v>
      </c>
      <c r="F5" s="10">
        <f>((YEAR(D5)-YEAR(C5))*360+(MONTH(D5)-MONTH(C5))*30+(DAY(D5)-DAY(C5)))/30</f>
        <v>3.5333333333333332</v>
      </c>
      <c r="G5" s="11">
        <f>100*(1+E5/100)^F5</f>
        <v>107.84312342507036</v>
      </c>
    </row>
    <row r="6" spans="1:7" x14ac:dyDescent="0.25">
      <c r="A6" s="2" t="s">
        <v>14</v>
      </c>
      <c r="B6" s="3" t="s">
        <v>7</v>
      </c>
      <c r="C6" s="12">
        <v>46052</v>
      </c>
      <c r="D6" s="4" t="s">
        <v>15</v>
      </c>
      <c r="E6" s="4">
        <v>2.75</v>
      </c>
      <c r="F6" s="5">
        <f t="shared" si="0"/>
        <v>6.0333333333333332</v>
      </c>
      <c r="G6" s="6">
        <f t="shared" si="1"/>
        <v>117.78329808806545</v>
      </c>
    </row>
    <row r="7" spans="1:7" x14ac:dyDescent="0.25">
      <c r="A7" s="7" t="s">
        <v>16</v>
      </c>
      <c r="B7" s="8" t="s">
        <v>7</v>
      </c>
      <c r="C7" s="13">
        <v>46129</v>
      </c>
      <c r="D7" s="9" t="s">
        <v>17</v>
      </c>
      <c r="E7" s="9">
        <v>2</v>
      </c>
      <c r="F7" s="10">
        <f t="shared" si="0"/>
        <v>3.9</v>
      </c>
      <c r="G7" s="11">
        <f t="shared" si="1"/>
        <v>108.02907808826146</v>
      </c>
    </row>
    <row r="8" spans="1:7" x14ac:dyDescent="0.25">
      <c r="A8" s="2" t="s">
        <v>18</v>
      </c>
      <c r="B8" s="3" t="s">
        <v>7</v>
      </c>
      <c r="C8" s="12">
        <v>45971</v>
      </c>
      <c r="D8" s="4" t="s">
        <v>19</v>
      </c>
      <c r="E8" s="4">
        <v>2.5</v>
      </c>
      <c r="F8" s="5">
        <f t="shared" si="0"/>
        <v>9.6999999999999993</v>
      </c>
      <c r="G8" s="6">
        <f t="shared" si="1"/>
        <v>127.06369905967132</v>
      </c>
    </row>
    <row r="9" spans="1:7" x14ac:dyDescent="0.25">
      <c r="A9" s="7" t="s">
        <v>20</v>
      </c>
      <c r="B9" s="8" t="s">
        <v>7</v>
      </c>
      <c r="C9" s="13">
        <v>46097</v>
      </c>
      <c r="D9" s="9" t="s">
        <v>21</v>
      </c>
      <c r="E9" s="9">
        <v>2.5299999999999998</v>
      </c>
      <c r="F9" s="10">
        <f t="shared" si="0"/>
        <v>6.4666666666666668</v>
      </c>
      <c r="G9" s="11">
        <f t="shared" si="1"/>
        <v>117.53562589582242</v>
      </c>
    </row>
    <row r="10" spans="1:7" x14ac:dyDescent="0.25">
      <c r="A10" s="2" t="s">
        <v>22</v>
      </c>
      <c r="B10" s="3" t="s">
        <v>7</v>
      </c>
      <c r="C10" s="12">
        <v>45961</v>
      </c>
      <c r="D10" s="4" t="s">
        <v>23</v>
      </c>
      <c r="E10" s="4">
        <v>2.5499999999999998</v>
      </c>
      <c r="F10" s="5">
        <f t="shared" si="0"/>
        <v>11.966666666666667</v>
      </c>
      <c r="G10" s="6">
        <f t="shared" si="1"/>
        <v>135.16475274454305</v>
      </c>
    </row>
    <row r="11" spans="1:7" x14ac:dyDescent="0.25">
      <c r="A11" s="7" t="s">
        <v>24</v>
      </c>
      <c r="B11" s="8" t="s">
        <v>7</v>
      </c>
      <c r="C11" s="13">
        <v>46006</v>
      </c>
      <c r="D11" s="9" t="s">
        <v>25</v>
      </c>
      <c r="E11" s="9">
        <v>2.2999999999999998</v>
      </c>
      <c r="F11" s="10">
        <f t="shared" si="0"/>
        <v>11.5</v>
      </c>
      <c r="G11" s="11">
        <f t="shared" si="1"/>
        <v>129.88822671719913</v>
      </c>
    </row>
  </sheetData>
  <autoFilter ref="A1:G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Granda</cp:lastModifiedBy>
  <cp:revision>0</cp:revision>
  <dcterms:created xsi:type="dcterms:W3CDTF">2026-04-21T02:20:02Z</dcterms:created>
  <dcterms:modified xsi:type="dcterms:W3CDTF">2026-05-11T23:05:34Z</dcterms:modified>
  <dc:language>en-US</dc:language>
</cp:coreProperties>
</file>